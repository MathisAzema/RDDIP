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<sst xmlns="http://schemas.openxmlformats.org/spreadsheetml/2006/main" count="14" uniqueCount="10">
  <si>
    <t xml:space="preserve">Instance</t>
  </si>
  <si>
    <t xml:space="preserve">Temps</t>
  </si>
  <si>
    <t xml:space="preserve">Borne sup</t>
  </si>
  <si>
    <t xml:space="preserve">borne inf</t>
  </si>
  <si>
    <t xml:space="preserve">Gamma</t>
  </si>
  <si>
    <t xml:space="preserve">Iter</t>
  </si>
  <si>
    <t xml:space="preserve">TimeWorstcase</t>
  </si>
  <si>
    <t xml:space="preserve">IterWorstcase</t>
  </si>
  <si>
    <t xml:space="preserve">IEEE3</t>
  </si>
  <si>
    <t xml:space="preserve">IEEE54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</si>
</sst>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:J7"/>
    </sheetView>
  </sheetViews>
  <sheetFormatPr defaultColWidth="10.6015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1" t="n">
        <v>12.2297549247742</v>
      </c>
      <c r="C2" s="1" t="n">
        <v>76846.0685569579</v>
      </c>
      <c r="D2" s="1" t="n">
        <v>76846.0685569579</v>
      </c>
      <c r="E2" s="1" t="n">
        <v>1</v>
      </c>
      <c r="F2" s="1" t="n">
        <v>10</v>
      </c>
      <c r="G2" s="1" t="n">
        <v>2.10112500190735</v>
      </c>
      <c r="H2" s="1" t="n">
        <v>2</v>
      </c>
      <c r="I2" s="1" t="n">
        <f aca="false">G2/H2</f>
        <v>1.05056250095367</v>
      </c>
      <c r="J2" s="0" t="str">
        <f aca="false">INT(B2) &amp; " (" &amp; H2 &amp; "/" &amp; INT(G2/H2) &amp;")"</f>
        <v>12 (2/1)</v>
      </c>
    </row>
    <row r="3" customFormat="false" ht="15" hidden="false" customHeight="false" outlineLevel="0" collapsed="false">
      <c r="A3" s="1" t="s">
        <v>8</v>
      </c>
      <c r="B3" s="1" t="n">
        <v>32.640095949173</v>
      </c>
      <c r="C3" s="1" t="n">
        <v>78232.0414616792</v>
      </c>
      <c r="D3" s="1" t="n">
        <v>78232.0414616792</v>
      </c>
      <c r="E3" s="1" t="n">
        <v>2</v>
      </c>
      <c r="F3" s="1" t="n">
        <v>10</v>
      </c>
      <c r="G3" s="1" t="n">
        <v>23.223249912262</v>
      </c>
      <c r="H3" s="1" t="n">
        <v>2</v>
      </c>
      <c r="I3" s="1" t="n">
        <f aca="false">G3/H3</f>
        <v>11.611624956131</v>
      </c>
      <c r="J3" s="0" t="str">
        <f aca="false">INT(B3) &amp; " (" &amp; H3 &amp; "/" &amp; INT(G3/H3) &amp;")"</f>
        <v>32 (2/11)</v>
      </c>
    </row>
    <row r="4" customFormat="false" ht="15" hidden="false" customHeight="false" outlineLevel="0" collapsed="false">
      <c r="A4" s="1" t="s">
        <v>8</v>
      </c>
      <c r="B4" s="1" t="n">
        <v>222.420189857483</v>
      </c>
      <c r="C4" s="1" t="n">
        <v>78888.4910178822</v>
      </c>
      <c r="D4" s="1" t="n">
        <v>78888.4910178822</v>
      </c>
      <c r="E4" s="1" t="n">
        <v>3</v>
      </c>
      <c r="F4" s="1" t="n">
        <v>11</v>
      </c>
      <c r="G4" s="1" t="n">
        <v>209.114290952682</v>
      </c>
      <c r="H4" s="1" t="n">
        <v>2</v>
      </c>
      <c r="I4" s="1" t="n">
        <f aca="false">G4/H4</f>
        <v>104.557145476341</v>
      </c>
      <c r="J4" s="0" t="str">
        <f aca="false">INT(B4) &amp; " (" &amp; H4 &amp; "/" &amp; INT(G4/H4) &amp;")"</f>
        <v>222 (2/104)</v>
      </c>
    </row>
    <row r="5" customFormat="false" ht="15" hidden="false" customHeight="false" outlineLevel="0" collapsed="false">
      <c r="A5" s="1" t="s">
        <v>9</v>
      </c>
      <c r="B5" s="1" t="n">
        <v>502.775413990021</v>
      </c>
      <c r="C5" s="1" t="n">
        <v>1574510.33298486</v>
      </c>
      <c r="D5" s="1" t="n">
        <v>1574121.54585927</v>
      </c>
      <c r="E5" s="1" t="n">
        <v>1</v>
      </c>
      <c r="F5" s="1" t="n">
        <v>57</v>
      </c>
      <c r="G5" s="1" t="n">
        <v>238.77907204628</v>
      </c>
      <c r="H5" s="1" t="n">
        <v>11</v>
      </c>
      <c r="I5" s="1" t="n">
        <f aca="false">G5/H5</f>
        <v>21.7071883678436</v>
      </c>
      <c r="J5" s="0" t="str">
        <f aca="false">INT(B5) &amp; " (" &amp; H5 &amp; "/" &amp; INT(G5/H5) &amp;")"</f>
        <v>502 (11/21)</v>
      </c>
    </row>
    <row r="6" customFormat="false" ht="15" hidden="false" customHeight="false" outlineLevel="0" collapsed="false">
      <c r="A6" s="1" t="s">
        <v>9</v>
      </c>
      <c r="B6" s="1" t="n">
        <v>1773.34854912758</v>
      </c>
      <c r="C6" s="1" t="n">
        <v>1583007.91315771</v>
      </c>
      <c r="D6" s="1" t="n">
        <v>1581491.18666155</v>
      </c>
      <c r="E6" s="1" t="n">
        <v>2</v>
      </c>
      <c r="F6" s="1" t="n">
        <v>48</v>
      </c>
      <c r="G6" s="1" t="n">
        <v>1449.16151809692</v>
      </c>
      <c r="H6" s="1" t="n">
        <v>5</v>
      </c>
      <c r="I6" s="1" t="n">
        <f aca="false">G6/H6</f>
        <v>289.832303619385</v>
      </c>
      <c r="J6" s="0" t="str">
        <f aca="false">INT(B6) &amp; " (" &amp; H6 &amp; "/" &amp; INT(G6/H6) &amp;")"</f>
        <v>1773 (5/289)</v>
      </c>
    </row>
    <row r="7" customFormat="false" ht="15" hidden="false" customHeight="false" outlineLevel="0" collapsed="false">
      <c r="A7" s="1" t="s">
        <v>9</v>
      </c>
      <c r="B7" s="1" t="n">
        <v>6044.29401516914</v>
      </c>
      <c r="C7" s="1" t="n">
        <v>1735672.76006825</v>
      </c>
      <c r="D7" s="1" t="n">
        <v>1576705.97060526</v>
      </c>
      <c r="E7" s="1" t="n">
        <v>3</v>
      </c>
      <c r="F7" s="1" t="n">
        <v>11</v>
      </c>
      <c r="G7" s="1" t="n">
        <v>5975.32148218155</v>
      </c>
      <c r="H7" s="1" t="n">
        <v>2</v>
      </c>
      <c r="I7" s="1" t="n">
        <f aca="false">G7/H7</f>
        <v>2987.66074109077</v>
      </c>
      <c r="J7" s="0" t="str">
        <f aca="false">INT(B7) &amp; " (" &amp; H7 &amp; "/" &amp; INT(G7/H7) &amp;")"</f>
        <v>6044 (2/2987)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2025-12-07T23:15:21Z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